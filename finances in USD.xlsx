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contrac/Library/Mobile Documents/com~apple~CloudDocs/advait/Conty.LAB/Projects/Noir Keyboard Pro/"/>
    </mc:Choice>
  </mc:AlternateContent>
  <xr:revisionPtr revIDLastSave="0" documentId="13_ncr:1_{E4E1DC5D-57C0-694D-B4DD-947E6144E329}" xr6:coauthVersionLast="47" xr6:coauthVersionMax="47" xr10:uidLastSave="{00000000-0000-0000-0000-000000000000}"/>
  <bookViews>
    <workbookView xWindow="6460" yWindow="3580" windowWidth="28040" windowHeight="17440" xr2:uid="{EC6EE335-7B92-484D-AF80-C36F566D9B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</calcChain>
</file>

<file path=xl/sharedStrings.xml><?xml version="1.0" encoding="utf-8"?>
<sst xmlns="http://schemas.openxmlformats.org/spreadsheetml/2006/main" count="29" uniqueCount="28">
  <si>
    <t>Item</t>
  </si>
  <si>
    <t>Price</t>
  </si>
  <si>
    <t>Link</t>
  </si>
  <si>
    <t>https://www.aliexpress.com/item/1005002621956105.html?spm=a2g0o.cart.0.0.543a38daYgT6gM&amp;mp=1&amp;pdp_npi=5%40dis%21SGD%21SGD%203.90%21SGD%203.90%21%21SGD%203.90%21%21%21%402140ed7717497053276484601e655c%2112000033456986500%21ct%21SG%216170289340%21%211%210&amp;pdp_ext_f=%7B%22cart2PdpParams%22%3A%7B%22pdpBusinessMode%22%3A%22retail%22%7D%7D</t>
  </si>
  <si>
    <t>5mm Thick EVA Foam</t>
  </si>
  <si>
    <t>Rasperry Pi Pico (With USB-C)</t>
  </si>
  <si>
    <t>Micro-USB to USB-C cable (in case Pico doesn't fit)</t>
  </si>
  <si>
    <t>https://www.aliexpress.com/item/1005003371056277.html?spm=a2g0o.cart.0.0.543a38daYgT6gM&amp;mp=1&amp;pdp_npi=5%40dis%21SGD%21SGD%202.88%21SGD%202.88%21%21SGD%202.88%21%21%21%402140ed7717497053844875545e655c%2112000035247643698%21ct%21SG%216170289340%21%211%210</t>
  </si>
  <si>
    <t>https://www.aliexpress.com/item/1005002361842974.html?spm=a2g0o.cart.0.0.543a38daYgT6gM&amp;mp=1&amp;pdp_npi=5%40dis%21SGD%21SGD%202.50%21SGD%202.50%21%21SGD%202.50%21%21%21%402140ed7717497053844875545e655c%2112000020315548878%21ct%21SG%216170289340%21%211%210</t>
  </si>
  <si>
    <t>https://www.aliexpress.com/item/1005006626760418.html?spm=a2g0o.cart.0.0.543a38daYgT6gM&amp;mp=1&amp;pdp_npi=5%40dis%21SGD%21SGD%207.53%21SGD%207.53%21%21SGD%207.53%21%21%21%402140ed7717497053844875545e655c%2112000037861664745%21ct%21SG%216170289340%21%211%210&amp;pdp_ext_f=%7B%22cart2PdpParams%22%3A%7B%22pdpBusinessMode%22%3A%22retail%22%7D%7D</t>
  </si>
  <si>
    <t>Remarks</t>
  </si>
  <si>
    <t>Ordering x2 (1 90 piece, 1x 10 piece)</t>
  </si>
  <si>
    <t>Kailh Choc Red Pro Switches (v1)</t>
  </si>
  <si>
    <t>Schotky Diodes</t>
  </si>
  <si>
    <t>Sold in packs of 100</t>
  </si>
  <si>
    <t>https://www.aliexpress.com/item/1005008067721732.html?spm=a2g0o.productlist.main.2.132c1a7d7UEIw6&amp;algo_pvid=1902ab43-1f60-44f9-8e96-859126b85c81&amp;algo_exp_id=1902ab43-1f60-44f9-8e96-859126b85c81-1&amp;pdp_ext_f=%7B%22order%22%3A%229%22%2C%22eval%22%3A%221%22%7D&amp;pdp_npi=4%40dis%21SGD%212.04%211.31%21%21%211.54%210.99%21%40213bd97f17497154054093248e9f7d%2112000043522784152%21sea%21SG%216170289340%21ABX&amp;curPageLogUid=1khFvCQcRh9P&amp;utparam-url=scene%3Asearch%7Cquery_from%3A</t>
  </si>
  <si>
    <t>Kailh Choc Hotswap Socket</t>
  </si>
  <si>
    <t>https://www.aliexpress.com/item/1005006625852715.html?spm=a2g0o.cart.0.0.4c9038dalerjxA&amp;mp=1&amp;pdp_npi=5%40dis%21SGD%21SGD%209.69%21SGD%207.05%21%21SGD%207.05%21%21%21%4021010c9a17497155330343802e4af9%2112000037858496852%21ct%21SG%216170289340%21%211%210</t>
  </si>
  <si>
    <t>Noir Keyboard Pro PCB from JLCPCB</t>
  </si>
  <si>
    <t>Sold in packs of 5, with shipping + new customer discount coupon</t>
  </si>
  <si>
    <t>NA</t>
  </si>
  <si>
    <t>Ordering</t>
  </si>
  <si>
    <t>Total</t>
  </si>
  <si>
    <t>128x32 OLED Screen</t>
  </si>
  <si>
    <t>Quantity</t>
  </si>
  <si>
    <t>White variant</t>
  </si>
  <si>
    <t>https://www.aliexpress.com/item/1005006351390199.html?spm=a2g0o.productlist.main.24.256fe6deEDHIr2&amp;algo_pvid=7d2e57db-ad30-407d-96d8-5d9838b66397&amp;aem_p4p_detail=202506122136555457460653036720000750004&amp;algo_exp_id=7d2e57db-ad30-407d-96d8-5d9838b66397-23&amp;pdp_ext_f=%7B%22order%22%3A%22109%22%2C%22eval%22%3A%221%22%7D&amp;pdp_npi=4%40dis%21SGD%212.44%212.44%21%21%2113.26%2113.26%21%4021015c7617497894153955931ea2ab%2112000036858011577%21sea%21SG%216170289340%21ABX&amp;curPageLogUid=J5ReLQEEctWA&amp;utparam-url=scene%3Asearch%7Cquery_from%3A&amp;search_p4p_id=202506122136555457460653036720000750004_6</t>
  </si>
  <si>
    <r>
      <t xml:space="preserve">Parts List </t>
    </r>
    <r>
      <rPr>
        <b/>
        <i/>
        <sz val="12"/>
        <color theme="1"/>
        <rFont val="Monaspace Neon Var Italic"/>
      </rPr>
      <t>(all prices in USD)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</si>
</sst>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164" formatCode="&quot;$&quot;#,##0.00"/>
    <numFmt numFmtId="165" formatCode="_([$$-4809]* #,##0.00_);_([$$-4809]* \(#,##0.00\);_([$$-4809]* &quot;-&quot;??_);_(@_)"/>
  </numFmts>
  <fonts count="5">
    <font>
      <sz val="12"/>
      <color theme="1"/>
      <name val="Aptos Narrow"/>
      <family val="2"/>
      <scheme val="minor"/>
    </font>
    <font>
      <sz val="12"/>
      <color theme="1"/>
      <name val="Monaspace Neon Var Italic"/>
    </font>
    <font>
      <b/>
      <sz val="12"/>
      <color theme="1"/>
      <name val="Monaspace Neon Var Italic"/>
    </font>
    <font>
      <sz val="11"/>
      <color theme="1"/>
      <name val="Monaspace Neon Var Italic"/>
    </font>
    <font>
      <b/>
      <i/>
      <sz val="12"/>
      <color theme="1"/>
      <name val="Monaspace Neon Var Italic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>
      <extLst>
        <ext xmlns:xfpb="http://schemas.microsoft.com/office/spreadsheetml/2022/featurepropertybag" uri="{C7286773-470A-42A8-94C5-96B5CB345126}">
          <xfpb:xfComplement i="0"/>
        </ext>
      </extLst>
    </xf>
    <xf numFmtId="8" fontId="3" fillId="0" borderId="0" xfId="0" applyNumberFormat="1" applyFont="1"/>
    <xf numFmtId="2" fontId="3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2" fontId="1" fillId="0" borderId="0" xfId="0" applyNumberFormat="1" applyFont="1"/>
    <xf numFmtId="8" fontId="1" fillId="0" borderId="0" xfId="0" applyNumberFormat="1" applyFont="1"/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1B8D8-777A-EE47-B5F0-CEF887B32B26}">
  <dimension ref="A1:F24"/>
  <sheetViews>
    <sheetView tabSelected="1" zoomScale="162" workbookViewId="0">
      <selection activeCell="A11" sqref="A11:N11"/>
    </sheetView>
  </sheetViews>
  <sheetFormatPr baseColWidth="10" defaultRowHeight="16"/>
  <cols>
    <col min="1" max="1" width="11.33203125" style="1" bestFit="1" customWidth="1"/>
    <col min="2" max="2" width="67.1640625" style="1" bestFit="1" customWidth="1"/>
    <col min="3" max="3" width="23" style="1" bestFit="1" customWidth="1"/>
    <col min="4" max="4" width="10.5" style="1" bestFit="1" customWidth="1"/>
    <col min="5" max="5" width="69" style="1" bestFit="1" customWidth="1"/>
    <col min="6" max="6" width="255.6640625" style="1" customWidth="1"/>
    <col min="7" max="16384" width="10.83203125" style="1"/>
  </cols>
  <sheetData>
    <row r="1" spans="1:6">
      <c r="A1" s="11" t="s">
        <v>27</v>
      </c>
      <c r="B1" s="11"/>
    </row>
    <row r="2" spans="1:6">
      <c r="A2" s="1" t="s">
        <v>22</v>
      </c>
      <c r="B2" s="7">
        <f>SUMIF(A4:A11,A4=TRUE,D4:D11)</f>
        <v>83.679999999999993</v>
      </c>
      <c r="C2" s="8"/>
    </row>
    <row r="3" spans="1:6">
      <c r="A3" s="1" t="s">
        <v>21</v>
      </c>
      <c r="B3" s="2" t="s">
        <v>0</v>
      </c>
      <c r="C3" s="2" t="s">
        <v>24</v>
      </c>
      <c r="D3" s="2" t="s">
        <v>1</v>
      </c>
      <c r="E3" s="1" t="s">
        <v>10</v>
      </c>
      <c r="F3" s="1" t="s">
        <v>2</v>
      </c>
    </row>
    <row r="4" spans="1:6">
      <c r="A4" s="4" t="b">
        <v>1</v>
      </c>
      <c r="B4" s="3" t="s">
        <v>4</v>
      </c>
      <c r="C4" s="6">
        <v>1</v>
      </c>
      <c r="D4" s="5">
        <v>3.06</v>
      </c>
      <c r="E4" s="3"/>
      <c r="F4" s="3" t="s">
        <v>3</v>
      </c>
    </row>
    <row r="5" spans="1:6">
      <c r="A5" s="4" t="b">
        <v>1</v>
      </c>
      <c r="B5" s="3" t="s">
        <v>5</v>
      </c>
      <c r="C5" s="6">
        <v>1</v>
      </c>
      <c r="D5" s="5">
        <v>2.2599999999999998</v>
      </c>
      <c r="E5" s="3"/>
      <c r="F5" s="3" t="s">
        <v>7</v>
      </c>
    </row>
    <row r="6" spans="1:6">
      <c r="A6" s="4" t="b">
        <v>1</v>
      </c>
      <c r="B6" s="3" t="s">
        <v>6</v>
      </c>
      <c r="C6" s="6">
        <v>1</v>
      </c>
      <c r="D6" s="5">
        <v>1.96</v>
      </c>
      <c r="E6" s="3"/>
      <c r="F6" s="3" t="s">
        <v>8</v>
      </c>
    </row>
    <row r="7" spans="1:6">
      <c r="A7" s="4" t="b">
        <v>1</v>
      </c>
      <c r="B7" s="3" t="s">
        <v>12</v>
      </c>
      <c r="C7" s="6">
        <v>100</v>
      </c>
      <c r="D7" s="5">
        <v>46.16</v>
      </c>
      <c r="E7" s="3" t="s">
        <v>11</v>
      </c>
      <c r="F7" s="3" t="s">
        <v>9</v>
      </c>
    </row>
    <row r="8" spans="1:6">
      <c r="A8" s="4" t="b">
        <v>1</v>
      </c>
      <c r="B8" s="3" t="s">
        <v>13</v>
      </c>
      <c r="C8" s="6">
        <v>100</v>
      </c>
      <c r="D8" s="5">
        <v>1.03</v>
      </c>
      <c r="E8" s="3" t="s">
        <v>14</v>
      </c>
      <c r="F8" s="3" t="s">
        <v>15</v>
      </c>
    </row>
    <row r="9" spans="1:6">
      <c r="A9" s="4" t="b">
        <v>1</v>
      </c>
      <c r="B9" s="3" t="s">
        <v>16</v>
      </c>
      <c r="C9" s="6">
        <v>100</v>
      </c>
      <c r="D9" s="5">
        <v>5.53</v>
      </c>
      <c r="E9" s="3" t="s">
        <v>14</v>
      </c>
      <c r="F9" s="3" t="s">
        <v>17</v>
      </c>
    </row>
    <row r="10" spans="1:6">
      <c r="A10" s="4" t="b">
        <v>1</v>
      </c>
      <c r="B10" s="3" t="s">
        <v>18</v>
      </c>
      <c r="C10" s="6">
        <v>5</v>
      </c>
      <c r="D10" s="5">
        <v>21.77</v>
      </c>
      <c r="E10" s="3" t="s">
        <v>19</v>
      </c>
      <c r="F10" s="3" t="s">
        <v>20</v>
      </c>
    </row>
    <row r="11" spans="1:6">
      <c r="A11" s="4" t="b">
        <v>1</v>
      </c>
      <c r="B11" s="1" t="s">
        <v>23</v>
      </c>
      <c r="C11" s="9">
        <v>1</v>
      </c>
      <c r="D11" s="10">
        <v>1.91</v>
      </c>
      <c r="E11" s="1" t="s">
        <v>25</v>
      </c>
      <c r="F11" s="1" t="s">
        <v>26</v>
      </c>
    </row>
    <row r="13" spans="1:6">
      <c r="C13" s="9"/>
    </row>
    <row r="14" spans="1:6">
      <c r="C14" s="9"/>
    </row>
    <row r="15" spans="1:6">
      <c r="C15" s="9"/>
    </row>
    <row r="16" spans="1:6">
      <c r="C16" s="9"/>
    </row>
    <row r="17" spans="3:3">
      <c r="C17" s="9"/>
    </row>
    <row r="18" spans="3:3">
      <c r="C18" s="9"/>
    </row>
    <row r="19" spans="3:3">
      <c r="C19" s="9"/>
    </row>
    <row r="20" spans="3:3">
      <c r="C20" s="9"/>
    </row>
    <row r="21" spans="3:3">
      <c r="C21" s="9"/>
    </row>
    <row r="22" spans="3:3">
      <c r="C22" s="9"/>
    </row>
    <row r="23" spans="3:3">
      <c r="C23" s="9"/>
    </row>
    <row r="24" spans="3:3">
      <c r="C24" s="9"/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milind contractor</dc:creator>
  <cp:lastModifiedBy>milind contractor</cp:lastModifiedBy>
  <dcterms:created xsi:type="dcterms:W3CDTF">2025-06-12T05:06:23Z</dcterms:created>
  <dcterms:modified xsi:type="dcterms:W3CDTF">2025-07-24T13:45:21Z</dcterms:modified>
</cp:coreProperties>
</file>